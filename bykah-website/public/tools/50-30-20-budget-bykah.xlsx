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0-30-20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<sst xmlns="http://schemas.openxmlformats.org/spreadsheetml/2006/main" count="80" uniqueCount="70">
  <si>
    <t xml:space="preserve">BUY YOUR KIDS A HOUSE</t>
  </si>
  <si>
    <t xml:space="preserve">50 · 30 · 20  Monthly Budget Tracker</t>
  </si>
  <si>
    <t xml:space="preserve">Fill in blue cells. Black cells calculate automatically. Track actual vs budgeted month-to-month.</t>
  </si>
  <si>
    <t xml:space="preserve">  STEP 1 — MONTHLY INCOME (take-home)</t>
  </si>
  <si>
    <t xml:space="preserve">Income Source</t>
  </si>
  <si>
    <t xml:space="preserve">Monthly Amount</t>
  </si>
  <si>
    <t xml:space="preserve">Primary Job (take-home pay)</t>
  </si>
  <si>
    <t xml:space="preserve">Partner / Spouse Income</t>
  </si>
  <si>
    <t xml:space="preserve">Side Hustle / Freelance</t>
  </si>
  <si>
    <t xml:space="preserve">Other Income</t>
  </si>
  <si>
    <t xml:space="preserve">TOTAL MONTHLY INCOME</t>
  </si>
  <si>
    <t xml:space="preserve">  STEP 2 — BUDGET SPLIT ASSUMPTIONS</t>
  </si>
  <si>
    <t xml:space="preserve">Category</t>
  </si>
  <si>
    <t xml:space="preserve">% Allocation</t>
  </si>
  <si>
    <t xml:space="preserve">Monthly Target</t>
  </si>
  <si>
    <t xml:space="preserve">Needs (housing, food, bills)</t>
  </si>
  <si>
    <t xml:space="preserve">Wants (dining, fun, hobbies)</t>
  </si>
  <si>
    <t xml:space="preserve">Savings &amp; Investing</t>
  </si>
  <si>
    <t xml:space="preserve">  NEEDS — 50% (ESSENTIALS)</t>
  </si>
  <si>
    <t xml:space="preserve">Expense</t>
  </si>
  <si>
    <t xml:space="preserve">Budgeted</t>
  </si>
  <si>
    <t xml:space="preserve">Actual Spent</t>
  </si>
  <si>
    <t xml:space="preserve">Difference</t>
  </si>
  <si>
    <t xml:space="preserve">Rent / Mortgage</t>
  </si>
  <si>
    <t xml:space="preserve">Utilities (electric, gas, water)</t>
  </si>
  <si>
    <t xml:space="preserve">Internet &amp; Phone</t>
  </si>
  <si>
    <t xml:space="preserve">Groceries</t>
  </si>
  <si>
    <t xml:space="preserve">Health Insurance / Medical</t>
  </si>
  <si>
    <t xml:space="preserve">Transportation (gas, transit)</t>
  </si>
  <si>
    <t xml:space="preserve">Car Payment</t>
  </si>
  <si>
    <t xml:space="preserve">Childcare / School Expenses</t>
  </si>
  <si>
    <t xml:space="preserve">Minimum Debt Payments</t>
  </si>
  <si>
    <t xml:space="preserve">Other Needs</t>
  </si>
  <si>
    <t xml:space="preserve">TOTAL NEEDS</t>
  </si>
  <si>
    <t xml:space="preserve">  Target (Needs)</t>
  </si>
  <si>
    <t xml:space="preserve">← vs. target</t>
  </si>
  <si>
    <t xml:space="preserve">  WANTS — 30% (LIFESTYLE)</t>
  </si>
  <si>
    <t xml:space="preserve">Dining Out / Takeout</t>
  </si>
  <si>
    <t xml:space="preserve">Entertainment &amp; Streaming</t>
  </si>
  <si>
    <t xml:space="preserve">Shopping / Clothing</t>
  </si>
  <si>
    <t xml:space="preserve">Travel / Vacations</t>
  </si>
  <si>
    <t xml:space="preserve">Gym / Hobbies</t>
  </si>
  <si>
    <t xml:space="preserve">Personal Care / Grooming</t>
  </si>
  <si>
    <t xml:space="preserve">Subscriptions</t>
  </si>
  <si>
    <t xml:space="preserve">Other Wants</t>
  </si>
  <si>
    <t xml:space="preserve">TOTAL WANTS</t>
  </si>
  <si>
    <t xml:space="preserve">  Target (Wants)</t>
  </si>
  <si>
    <t xml:space="preserve">  SAVINGS &amp; INVESTING — 20% (FUTURE)</t>
  </si>
  <si>
    <t xml:space="preserve">Emergency Fund</t>
  </si>
  <si>
    <t xml:space="preserve">401k / IRA Contributions</t>
  </si>
  <si>
    <t xml:space="preserve">Buy Your Kids a House Fund</t>
  </si>
  <si>
    <t xml:space="preserve">Brokerage / Investments</t>
  </si>
  <si>
    <t xml:space="preserve">Other Savings Goals</t>
  </si>
  <si>
    <t xml:space="preserve">TOTAL SAVINGS</t>
  </si>
  <si>
    <t xml:space="preserve">  Target (Savings)</t>
  </si>
  <si>
    <t xml:space="preserve">  MONTHLY SUMMARY</t>
  </si>
  <si>
    <t xml:space="preserve">Metric</t>
  </si>
  <si>
    <t xml:space="preserve">Amount</t>
  </si>
  <si>
    <t xml:space="preserve">Notes</t>
  </si>
  <si>
    <t xml:space="preserve">Total Monthly Income</t>
  </si>
  <si>
    <t xml:space="preserve">Your take-home pay</t>
  </si>
  <si>
    <t xml:space="preserve">Total Budgeted (Needs + Wants + Savings)</t>
  </si>
  <si>
    <t xml:space="preserve">Sum of all budgeted categories</t>
  </si>
  <si>
    <t xml:space="preserve">Total Actually Spent</t>
  </si>
  <si>
    <t xml:space="preserve">Updates as you log actual spending</t>
  </si>
  <si>
    <t xml:space="preserve">Income — Budgeted (Buffer)</t>
  </si>
  <si>
    <t xml:space="preserve">Positive = surplus. Negative = over budget.</t>
  </si>
  <si>
    <t xml:space="preserve">Savings Rate (target 20%)</t>
  </si>
  <si>
    <t xml:space="preserve">What % of income is going to savings</t>
  </si>
  <si>
    <t xml:space="preserve">🏠  Want to track investments &amp; plan your kids' future home?  →  BuyYourKidsAHouse.com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</si>
</sst>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%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973A"/>
      <name val="Calibri"/>
      <family val="0"/>
      <charset val="1"/>
    </font>
    <font>
      <b val="true"/>
      <sz val="18"/>
      <color rgb="FF0A1628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1A1A1A"/>
      <name val="Calibri"/>
      <family val="0"/>
      <charset val="1"/>
    </font>
    <font>
      <sz val="11"/>
      <color rgb="FF2563EB"/>
      <name val="Calibri"/>
      <family val="0"/>
      <charset val="1"/>
    </font>
    <font>
      <b val="true"/>
      <sz val="11"/>
      <color rgb="FF1A1A1A"/>
      <name val="Calibri"/>
      <family val="0"/>
      <charset val="1"/>
    </font>
    <font>
      <b val="true"/>
      <sz val="11"/>
      <color rgb="FF0A1628"/>
      <name val="Calibri"/>
      <family val="0"/>
      <charset val="1"/>
    </font>
    <font>
      <i val="true"/>
      <sz val="11"/>
      <color rgb="FF6B7280"/>
      <name val="Calibri"/>
      <family val="0"/>
      <charset val="1"/>
    </font>
    <font>
      <sz val="11"/>
      <color rgb="FF6B7280"/>
      <name val="Calibri"/>
      <family val="0"/>
      <charset val="1"/>
    </font>
    <font>
      <b val="true"/>
      <sz val="11"/>
      <color rgb="FFC9973A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365D"/>
        <bgColor rgb="FF333399"/>
      </patternFill>
    </fill>
    <fill>
      <patternFill patternType="solid">
        <fgColor rgb="FF0A1628"/>
        <bgColor rgb="FF1A1A1A"/>
      </patternFill>
    </fill>
    <fill>
      <patternFill patternType="solid">
        <fgColor rgb="FFF0F7FF"/>
        <bgColor rgb="FFFFFFFF"/>
      </patternFill>
    </fill>
    <fill>
      <patternFill patternType="solid">
        <fgColor rgb="FFF8E9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E9C2"/>
      <rgbColor rgb="FFF0F7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C9973A"/>
      <rgbColor rgb="FFFF6600"/>
      <rgbColor rgb="FF6B7280"/>
      <rgbColor rgb="FF969696"/>
      <rgbColor rgb="FF1A365D"/>
      <rgbColor rgb="FF339966"/>
      <rgbColor rgb="FF0A1628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5" min="3" style="0" width="16"/>
  </cols>
  <sheetData>
    <row r="2" customFormat="false" ht="15" hidden="false" customHeight="false" outlineLevel="0" collapsed="false">
      <c r="B2" s="1" t="s">
        <v>0</v>
      </c>
    </row>
    <row r="3" customFormat="false" ht="22.0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21.75" hidden="false" customHeight="true" outlineLevel="0" collapsed="false">
      <c r="B6" s="4" t="s">
        <v>3</v>
      </c>
      <c r="C6" s="4"/>
      <c r="D6" s="4"/>
      <c r="E6" s="4"/>
    </row>
    <row r="7" customFormat="false" ht="15" hidden="false" customHeight="false" outlineLevel="0" collapsed="false">
      <c r="B7" s="5" t="s">
        <v>4</v>
      </c>
      <c r="C7" s="5" t="s">
        <v>5</v>
      </c>
    </row>
    <row r="8" customFormat="false" ht="15" hidden="false" customHeight="false" outlineLevel="0" collapsed="false">
      <c r="B8" s="6" t="s">
        <v>6</v>
      </c>
      <c r="C8" s="7" t="n">
        <v>5500</v>
      </c>
    </row>
    <row r="9" customFormat="false" ht="15" hidden="false" customHeight="false" outlineLevel="0" collapsed="false">
      <c r="B9" s="6" t="s">
        <v>7</v>
      </c>
      <c r="C9" s="7" t="n">
        <v>0</v>
      </c>
    </row>
    <row r="10" customFormat="false" ht="15" hidden="false" customHeight="false" outlineLevel="0" collapsed="false">
      <c r="B10" s="6" t="s">
        <v>8</v>
      </c>
      <c r="C10" s="7" t="n">
        <v>0</v>
      </c>
    </row>
    <row r="11" customFormat="false" ht="15" hidden="false" customHeight="false" outlineLevel="0" collapsed="false">
      <c r="B11" s="6" t="s">
        <v>9</v>
      </c>
      <c r="C11" s="7" t="n">
        <v>0</v>
      </c>
    </row>
    <row r="12" customFormat="false" ht="15" hidden="false" customHeight="false" outlineLevel="0" collapsed="false">
      <c r="B12" s="8" t="s">
        <v>10</v>
      </c>
      <c r="C12" s="9" t="n">
        <f aca="false">SUM(C8:C11)</f>
        <v>5500</v>
      </c>
    </row>
    <row r="14" customFormat="false" ht="21.75" hidden="false" customHeight="true" outlineLevel="0" collapsed="false">
      <c r="B14" s="4" t="s">
        <v>11</v>
      </c>
      <c r="C14" s="4"/>
      <c r="D14" s="4"/>
      <c r="E14" s="4"/>
    </row>
    <row r="16" customFormat="false" ht="15" hidden="false" customHeight="false" outlineLevel="0" collapsed="false">
      <c r="B16" s="5" t="s">
        <v>12</v>
      </c>
      <c r="C16" s="5" t="s">
        <v>13</v>
      </c>
      <c r="D16" s="5" t="s">
        <v>14</v>
      </c>
    </row>
    <row r="17" customFormat="false" ht="15" hidden="false" customHeight="false" outlineLevel="0" collapsed="false">
      <c r="B17" s="6" t="s">
        <v>15</v>
      </c>
      <c r="C17" s="10" t="n">
        <v>0.5</v>
      </c>
      <c r="D17" s="11" t="n">
        <f aca="false">C12*C17</f>
        <v>2750</v>
      </c>
    </row>
    <row r="18" customFormat="false" ht="15" hidden="false" customHeight="false" outlineLevel="0" collapsed="false">
      <c r="B18" s="6" t="s">
        <v>16</v>
      </c>
      <c r="C18" s="10" t="n">
        <v>0.3</v>
      </c>
      <c r="D18" s="11" t="n">
        <f aca="false">C12*C18</f>
        <v>1650</v>
      </c>
    </row>
    <row r="19" customFormat="false" ht="15" hidden="false" customHeight="false" outlineLevel="0" collapsed="false">
      <c r="B19" s="6" t="s">
        <v>17</v>
      </c>
      <c r="C19" s="10" t="n">
        <v>0.2</v>
      </c>
      <c r="D19" s="11" t="n">
        <f aca="false">C12*C19</f>
        <v>1100</v>
      </c>
    </row>
    <row r="21" customFormat="false" ht="21.75" hidden="false" customHeight="true" outlineLevel="0" collapsed="false">
      <c r="B21" s="4" t="s">
        <v>18</v>
      </c>
      <c r="C21" s="4"/>
      <c r="D21" s="4"/>
      <c r="E21" s="4"/>
    </row>
    <row r="23" customFormat="false" ht="15" hidden="false" customHeight="false" outlineLevel="0" collapsed="false">
      <c r="B23" s="5" t="s">
        <v>19</v>
      </c>
      <c r="C23" s="5" t="s">
        <v>20</v>
      </c>
      <c r="D23" s="5" t="s">
        <v>21</v>
      </c>
      <c r="E23" s="5" t="s">
        <v>22</v>
      </c>
    </row>
    <row r="24" customFormat="false" ht="15" hidden="false" customHeight="false" outlineLevel="0" collapsed="false">
      <c r="B24" s="6" t="s">
        <v>23</v>
      </c>
      <c r="C24" s="7" t="n">
        <v>1500</v>
      </c>
      <c r="D24" s="7" t="n">
        <v>0</v>
      </c>
      <c r="E24" s="12" t="n">
        <f aca="false">C24-D24</f>
        <v>1500</v>
      </c>
    </row>
    <row r="25" customFormat="false" ht="15" hidden="false" customHeight="false" outlineLevel="0" collapsed="false">
      <c r="B25" s="6" t="s">
        <v>24</v>
      </c>
      <c r="C25" s="7" t="n">
        <v>150</v>
      </c>
      <c r="D25" s="7" t="n">
        <v>0</v>
      </c>
      <c r="E25" s="12" t="n">
        <f aca="false">C25-D25</f>
        <v>150</v>
      </c>
    </row>
    <row r="26" customFormat="false" ht="15" hidden="false" customHeight="false" outlineLevel="0" collapsed="false">
      <c r="B26" s="6" t="s">
        <v>25</v>
      </c>
      <c r="C26" s="7" t="n">
        <v>120</v>
      </c>
      <c r="D26" s="7" t="n">
        <v>0</v>
      </c>
      <c r="E26" s="12" t="n">
        <f aca="false">C26-D26</f>
        <v>120</v>
      </c>
    </row>
    <row r="27" customFormat="false" ht="15" hidden="false" customHeight="false" outlineLevel="0" collapsed="false">
      <c r="B27" s="6" t="s">
        <v>26</v>
      </c>
      <c r="C27" s="7" t="n">
        <v>400</v>
      </c>
      <c r="D27" s="7" t="n">
        <v>0</v>
      </c>
      <c r="E27" s="12" t="n">
        <f aca="false">C27-D27</f>
        <v>400</v>
      </c>
    </row>
    <row r="28" customFormat="false" ht="15" hidden="false" customHeight="false" outlineLevel="0" collapsed="false">
      <c r="B28" s="6" t="s">
        <v>27</v>
      </c>
      <c r="C28" s="7" t="n">
        <v>200</v>
      </c>
      <c r="D28" s="7" t="n">
        <v>0</v>
      </c>
      <c r="E28" s="12" t="n">
        <f aca="false">C28-D28</f>
        <v>200</v>
      </c>
    </row>
    <row r="29" customFormat="false" ht="15" hidden="false" customHeight="false" outlineLevel="0" collapsed="false">
      <c r="B29" s="6" t="s">
        <v>28</v>
      </c>
      <c r="C29" s="7" t="n">
        <v>150</v>
      </c>
      <c r="D29" s="7" t="n">
        <v>0</v>
      </c>
      <c r="E29" s="12" t="n">
        <f aca="false">C29-D29</f>
        <v>150</v>
      </c>
    </row>
    <row r="30" customFormat="false" ht="15" hidden="false" customHeight="false" outlineLevel="0" collapsed="false">
      <c r="B30" s="6" t="s">
        <v>29</v>
      </c>
      <c r="C30" s="7" t="n">
        <v>350</v>
      </c>
      <c r="D30" s="7" t="n">
        <v>0</v>
      </c>
      <c r="E30" s="12" t="n">
        <f aca="false">C30-D30</f>
        <v>350</v>
      </c>
    </row>
    <row r="31" customFormat="false" ht="15" hidden="false" customHeight="false" outlineLevel="0" collapsed="false">
      <c r="B31" s="6" t="s">
        <v>30</v>
      </c>
      <c r="C31" s="7" t="n">
        <v>0</v>
      </c>
      <c r="D31" s="7" t="n">
        <v>0</v>
      </c>
      <c r="E31" s="12" t="n">
        <f aca="false">C31-D31</f>
        <v>0</v>
      </c>
    </row>
    <row r="32" customFormat="false" ht="15" hidden="false" customHeight="false" outlineLevel="0" collapsed="false">
      <c r="B32" s="6" t="s">
        <v>31</v>
      </c>
      <c r="C32" s="7" t="n">
        <v>0</v>
      </c>
      <c r="D32" s="7" t="n">
        <v>0</v>
      </c>
      <c r="E32" s="12" t="n">
        <f aca="false">C32-D32</f>
        <v>0</v>
      </c>
    </row>
    <row r="33" customFormat="false" ht="15" hidden="false" customHeight="false" outlineLevel="0" collapsed="false">
      <c r="B33" s="6" t="s">
        <v>32</v>
      </c>
      <c r="C33" s="7" t="n">
        <v>0</v>
      </c>
      <c r="D33" s="7" t="n">
        <v>0</v>
      </c>
      <c r="E33" s="12" t="n">
        <f aca="false">C33-D33</f>
        <v>0</v>
      </c>
    </row>
    <row r="34" customFormat="false" ht="15" hidden="false" customHeight="false" outlineLevel="0" collapsed="false">
      <c r="B34" s="8" t="s">
        <v>33</v>
      </c>
      <c r="C34" s="9" t="n">
        <f aca="false">SUM(C24:C33)</f>
        <v>2870</v>
      </c>
      <c r="D34" s="9" t="n">
        <f aca="false">SUM(D24:D33)</f>
        <v>0</v>
      </c>
      <c r="E34" s="9" t="n">
        <f aca="false">C34-D34</f>
        <v>2870</v>
      </c>
    </row>
    <row r="35" customFormat="false" ht="15" hidden="false" customHeight="false" outlineLevel="0" collapsed="false">
      <c r="B35" s="13" t="s">
        <v>34</v>
      </c>
      <c r="C35" s="14" t="n">
        <f aca="false">D17</f>
        <v>2750</v>
      </c>
      <c r="D35" s="14" t="n">
        <f aca="false">C34-D17</f>
        <v>120</v>
      </c>
      <c r="E35" s="3" t="s">
        <v>35</v>
      </c>
    </row>
    <row r="37" customFormat="false" ht="21.75" hidden="false" customHeight="true" outlineLevel="0" collapsed="false">
      <c r="B37" s="4" t="s">
        <v>36</v>
      </c>
      <c r="C37" s="4"/>
      <c r="D37" s="4"/>
      <c r="E37" s="4"/>
    </row>
    <row r="39" customFormat="false" ht="15" hidden="false" customHeight="false" outlineLevel="0" collapsed="false">
      <c r="B39" s="5" t="s">
        <v>19</v>
      </c>
      <c r="C39" s="5" t="s">
        <v>20</v>
      </c>
      <c r="D39" s="5" t="s">
        <v>21</v>
      </c>
      <c r="E39" s="5" t="s">
        <v>22</v>
      </c>
    </row>
    <row r="40" customFormat="false" ht="15" hidden="false" customHeight="false" outlineLevel="0" collapsed="false">
      <c r="B40" s="6" t="s">
        <v>37</v>
      </c>
      <c r="C40" s="7" t="n">
        <v>200</v>
      </c>
      <c r="D40" s="7" t="n">
        <v>0</v>
      </c>
      <c r="E40" s="12" t="n">
        <f aca="false">C40-D40</f>
        <v>200</v>
      </c>
    </row>
    <row r="41" customFormat="false" ht="15" hidden="false" customHeight="false" outlineLevel="0" collapsed="false">
      <c r="B41" s="6" t="s">
        <v>38</v>
      </c>
      <c r="C41" s="7" t="n">
        <v>80</v>
      </c>
      <c r="D41" s="7" t="n">
        <v>0</v>
      </c>
      <c r="E41" s="12" t="n">
        <f aca="false">C41-D41</f>
        <v>80</v>
      </c>
    </row>
    <row r="42" customFormat="false" ht="15" hidden="false" customHeight="false" outlineLevel="0" collapsed="false">
      <c r="B42" s="6" t="s">
        <v>39</v>
      </c>
      <c r="C42" s="7" t="n">
        <v>100</v>
      </c>
      <c r="D42" s="7" t="n">
        <v>0</v>
      </c>
      <c r="E42" s="12" t="n">
        <f aca="false">C42-D42</f>
        <v>100</v>
      </c>
    </row>
    <row r="43" customFormat="false" ht="15" hidden="false" customHeight="false" outlineLevel="0" collapsed="false">
      <c r="B43" s="6" t="s">
        <v>40</v>
      </c>
      <c r="C43" s="7" t="n">
        <v>100</v>
      </c>
      <c r="D43" s="7" t="n">
        <v>0</v>
      </c>
      <c r="E43" s="12" t="n">
        <f aca="false">C43-D43</f>
        <v>100</v>
      </c>
    </row>
    <row r="44" customFormat="false" ht="15" hidden="false" customHeight="false" outlineLevel="0" collapsed="false">
      <c r="B44" s="6" t="s">
        <v>41</v>
      </c>
      <c r="C44" s="7" t="n">
        <v>50</v>
      </c>
      <c r="D44" s="7" t="n">
        <v>0</v>
      </c>
      <c r="E44" s="12" t="n">
        <f aca="false">C44-D44</f>
        <v>50</v>
      </c>
    </row>
    <row r="45" customFormat="false" ht="15" hidden="false" customHeight="false" outlineLevel="0" collapsed="false">
      <c r="B45" s="6" t="s">
        <v>42</v>
      </c>
      <c r="C45" s="7" t="n">
        <v>50</v>
      </c>
      <c r="D45" s="7" t="n">
        <v>0</v>
      </c>
      <c r="E45" s="12" t="n">
        <f aca="false">C45-D45</f>
        <v>50</v>
      </c>
    </row>
    <row r="46" customFormat="false" ht="15" hidden="false" customHeight="false" outlineLevel="0" collapsed="false">
      <c r="B46" s="6" t="s">
        <v>43</v>
      </c>
      <c r="C46" s="7" t="n">
        <v>40</v>
      </c>
      <c r="D46" s="7" t="n">
        <v>0</v>
      </c>
      <c r="E46" s="12" t="n">
        <f aca="false">C46-D46</f>
        <v>40</v>
      </c>
    </row>
    <row r="47" customFormat="false" ht="15" hidden="false" customHeight="false" outlineLevel="0" collapsed="false">
      <c r="B47" s="6" t="s">
        <v>44</v>
      </c>
      <c r="C47" s="7" t="n">
        <v>0</v>
      </c>
      <c r="D47" s="7" t="n">
        <v>0</v>
      </c>
      <c r="E47" s="12" t="n">
        <f aca="false">C47-D47</f>
        <v>0</v>
      </c>
    </row>
    <row r="48" customFormat="false" ht="15" hidden="false" customHeight="false" outlineLevel="0" collapsed="false">
      <c r="B48" s="8" t="s">
        <v>45</v>
      </c>
      <c r="C48" s="9" t="n">
        <f aca="false">SUM(C40:C47)</f>
        <v>620</v>
      </c>
      <c r="D48" s="9" t="n">
        <f aca="false">SUM(D40:D47)</f>
        <v>0</v>
      </c>
      <c r="E48" s="9" t="n">
        <f aca="false">C48-D48</f>
        <v>620</v>
      </c>
    </row>
    <row r="49" customFormat="false" ht="15" hidden="false" customHeight="false" outlineLevel="0" collapsed="false">
      <c r="B49" s="13" t="s">
        <v>46</v>
      </c>
      <c r="C49" s="14" t="n">
        <f aca="false">D18</f>
        <v>1650</v>
      </c>
      <c r="D49" s="14" t="n">
        <f aca="false">C48-D18</f>
        <v>-1030</v>
      </c>
      <c r="E49" s="3" t="s">
        <v>35</v>
      </c>
    </row>
    <row r="51" customFormat="false" ht="21.75" hidden="false" customHeight="true" outlineLevel="0" collapsed="false">
      <c r="B51" s="4" t="s">
        <v>47</v>
      </c>
      <c r="C51" s="4"/>
      <c r="D51" s="4"/>
      <c r="E51" s="4"/>
    </row>
    <row r="53" customFormat="false" ht="15" hidden="false" customHeight="false" outlineLevel="0" collapsed="false">
      <c r="B53" s="5" t="s">
        <v>19</v>
      </c>
      <c r="C53" s="5" t="s">
        <v>20</v>
      </c>
      <c r="D53" s="5" t="s">
        <v>21</v>
      </c>
      <c r="E53" s="5" t="s">
        <v>22</v>
      </c>
    </row>
    <row r="54" customFormat="false" ht="15" hidden="false" customHeight="false" outlineLevel="0" collapsed="false">
      <c r="B54" s="6" t="s">
        <v>48</v>
      </c>
      <c r="C54" s="7" t="n">
        <v>100</v>
      </c>
      <c r="D54" s="7" t="n">
        <v>0</v>
      </c>
      <c r="E54" s="12" t="n">
        <f aca="false">C54-D54</f>
        <v>100</v>
      </c>
    </row>
    <row r="55" customFormat="false" ht="15" hidden="false" customHeight="false" outlineLevel="0" collapsed="false">
      <c r="B55" s="6" t="s">
        <v>49</v>
      </c>
      <c r="C55" s="7" t="n">
        <v>300</v>
      </c>
      <c r="D55" s="7" t="n">
        <v>0</v>
      </c>
      <c r="E55" s="12" t="n">
        <f aca="false">C55-D55</f>
        <v>300</v>
      </c>
    </row>
    <row r="56" customFormat="false" ht="15" hidden="false" customHeight="false" outlineLevel="0" collapsed="false">
      <c r="B56" s="6" t="s">
        <v>50</v>
      </c>
      <c r="C56" s="7" t="n">
        <v>200</v>
      </c>
      <c r="D56" s="7" t="n">
        <v>0</v>
      </c>
      <c r="E56" s="12" t="n">
        <f aca="false">C56-D56</f>
        <v>200</v>
      </c>
    </row>
    <row r="57" customFormat="false" ht="15" hidden="false" customHeight="false" outlineLevel="0" collapsed="false">
      <c r="B57" s="6" t="s">
        <v>51</v>
      </c>
      <c r="C57" s="7" t="n">
        <v>200</v>
      </c>
      <c r="D57" s="7" t="n">
        <v>0</v>
      </c>
      <c r="E57" s="12" t="n">
        <f aca="false">C57-D57</f>
        <v>200</v>
      </c>
    </row>
    <row r="58" customFormat="false" ht="15" hidden="false" customHeight="false" outlineLevel="0" collapsed="false">
      <c r="B58" s="6" t="s">
        <v>52</v>
      </c>
      <c r="C58" s="7" t="n">
        <v>0</v>
      </c>
      <c r="D58" s="7" t="n">
        <v>0</v>
      </c>
      <c r="E58" s="12" t="n">
        <f aca="false">C58-D58</f>
        <v>0</v>
      </c>
    </row>
    <row r="59" customFormat="false" ht="15" hidden="false" customHeight="false" outlineLevel="0" collapsed="false">
      <c r="B59" s="8" t="s">
        <v>53</v>
      </c>
      <c r="C59" s="9" t="n">
        <f aca="false">SUM(C54:C58)</f>
        <v>800</v>
      </c>
      <c r="D59" s="9" t="n">
        <f aca="false">SUM(D54:D58)</f>
        <v>0</v>
      </c>
      <c r="E59" s="9" t="n">
        <f aca="false">C59-D59</f>
        <v>800</v>
      </c>
    </row>
    <row r="60" customFormat="false" ht="15" hidden="false" customHeight="false" outlineLevel="0" collapsed="false">
      <c r="B60" s="13" t="s">
        <v>54</v>
      </c>
      <c r="C60" s="14" t="n">
        <f aca="false">D19</f>
        <v>1100</v>
      </c>
      <c r="D60" s="14" t="n">
        <f aca="false">C59-D19</f>
        <v>-300</v>
      </c>
      <c r="E60" s="3" t="s">
        <v>35</v>
      </c>
    </row>
    <row r="62" customFormat="false" ht="21.75" hidden="false" customHeight="true" outlineLevel="0" collapsed="false">
      <c r="B62" s="4" t="s">
        <v>55</v>
      </c>
      <c r="C62" s="4"/>
      <c r="D62" s="4"/>
      <c r="E62" s="4"/>
    </row>
    <row r="64" customFormat="false" ht="15" hidden="false" customHeight="false" outlineLevel="0" collapsed="false">
      <c r="B64" s="5" t="s">
        <v>56</v>
      </c>
      <c r="C64" s="5" t="s">
        <v>57</v>
      </c>
      <c r="D64" s="5" t="s">
        <v>58</v>
      </c>
    </row>
    <row r="65" customFormat="false" ht="15" hidden="false" customHeight="false" outlineLevel="0" collapsed="false">
      <c r="B65" s="6" t="s">
        <v>59</v>
      </c>
      <c r="C65" s="9" t="n">
        <f aca="false">C12</f>
        <v>5500</v>
      </c>
      <c r="D65" s="15" t="s">
        <v>60</v>
      </c>
    </row>
    <row r="66" customFormat="false" ht="15" hidden="false" customHeight="false" outlineLevel="0" collapsed="false">
      <c r="B66" s="6" t="s">
        <v>61</v>
      </c>
      <c r="C66" s="9" t="n">
        <f aca="false">C34+C48+C59</f>
        <v>4290</v>
      </c>
      <c r="D66" s="15" t="s">
        <v>62</v>
      </c>
    </row>
    <row r="67" customFormat="false" ht="15" hidden="false" customHeight="false" outlineLevel="0" collapsed="false">
      <c r="B67" s="6" t="s">
        <v>63</v>
      </c>
      <c r="C67" s="9" t="n">
        <f aca="false">D34+D48+D59</f>
        <v>0</v>
      </c>
      <c r="D67" s="15" t="s">
        <v>64</v>
      </c>
    </row>
    <row r="68" customFormat="false" ht="15" hidden="false" customHeight="false" outlineLevel="0" collapsed="false">
      <c r="B68" s="8" t="s">
        <v>65</v>
      </c>
      <c r="C68" s="16" t="n">
        <f aca="false">C65-C66</f>
        <v>1210</v>
      </c>
      <c r="D68" s="15" t="s">
        <v>66</v>
      </c>
    </row>
    <row r="69" customFormat="false" ht="15" hidden="false" customHeight="false" outlineLevel="0" collapsed="false">
      <c r="B69" s="8" t="s">
        <v>67</v>
      </c>
      <c r="C69" s="17" t="n">
        <f aca="false">IFERROR(C59/C65,0)</f>
        <v>0.145454545454545</v>
      </c>
      <c r="D69" s="15" t="s">
        <v>68</v>
      </c>
    </row>
    <row r="71" customFormat="false" ht="15" hidden="false" customHeight="false" outlineLevel="0" collapsed="false">
      <c r="B71" s="18" t="s">
        <v>69</v>
      </c>
    </row>
  </sheetData>
  <mergeCells count="6">
    <mergeCell ref="B6:E6"/>
    <mergeCell ref="B14:E14"/>
    <mergeCell ref="B21:E21"/>
    <mergeCell ref="B37:E37"/>
    <mergeCell ref="B51:E51"/>
    <mergeCell ref="B62:E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2026-05-11T02:33:04Z</dcterms:created>
  <dc:creator>openpyxl</dc:creator>
  <dc:description/>
  <dc:language>en-US</dc:language>
  <cp:lastModifiedBy/>
  <dcterms:modified xsi:type="dcterms:W3CDTF">2026-05-11T02:33:04Z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