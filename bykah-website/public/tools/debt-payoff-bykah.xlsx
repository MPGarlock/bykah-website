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 Payoff Tracker" sheetId="1" state="visible" r:id="rId3"/>
  </sheets>
  <definedNames>
    <definedName function="false" hidden="false" localSheetId="0" name="_xlnm.Print_Area" vbProcedure="false">'Debt Payoff Tracker'!$A$1:$J$70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<sst xmlns="http://schemas.openxmlformats.org/spreadsheetml/2006/main" count="86" uniqueCount="69">
  <si>
    <t xml:space="preserve">BUY YOUR KIDS A HOUSE</t>
  </si>
  <si>
    <t xml:space="preserve">Debt Payoff Tracker  ·  Snowball vs Avalanche</t>
  </si>
  <si>
    <t xml:space="preserve">  EXTRA MONTHLY PAYMENT SETTINGS</t>
  </si>
  <si>
    <t xml:space="preserve">Extra Monthly Payment (above minimums)</t>
  </si>
  <si>
    <t xml:space="preserve">← Change this to see how extra payments accelerate payoff</t>
  </si>
  <si>
    <t xml:space="preserve">  YOUR DEBTS  (blue cells = enter your info)</t>
  </si>
  <si>
    <t xml:space="preserve">Debt Name</t>
  </si>
  <si>
    <t xml:space="preserve">Current Balance</t>
  </si>
  <si>
    <t xml:space="preserve">APR (%)</t>
  </si>
  <si>
    <t xml:space="preserve">Min. Payment</t>
  </si>
  <si>
    <t xml:space="preserve">Snowball Rank</t>
  </si>
  <si>
    <t xml:space="preserve">Avalanche Rank</t>
  </si>
  <si>
    <t xml:space="preserve">Credit Card 1</t>
  </si>
  <si>
    <t xml:space="preserve">Credit Card 2</t>
  </si>
  <si>
    <t xml:space="preserve">Personal Loan</t>
  </si>
  <si>
    <t xml:space="preserve">Car Loan</t>
  </si>
  <si>
    <t xml:space="preserve">Student Loan</t>
  </si>
  <si>
    <t xml:space="preserve">Medical Bill</t>
  </si>
  <si>
    <t xml:space="preserve">(add debt #7)</t>
  </si>
  <si>
    <t xml:space="preserve">(add debt #8)</t>
  </si>
  <si>
    <t xml:space="preserve">(add debt #9)</t>
  </si>
  <si>
    <t xml:space="preserve">TOTALS</t>
  </si>
  <si>
    <t xml:space="preserve">  ❄  SNOWBALL METHOD  (Pay Smallest Balance First)</t>
  </si>
  <si>
    <t xml:space="preserve">Debt (Snowball Order)</t>
  </si>
  <si>
    <t xml:space="preserve">Balance</t>
  </si>
  <si>
    <t xml:space="preserve">APR</t>
  </si>
  <si>
    <t xml:space="preserve">Min Payment</t>
  </si>
  <si>
    <t xml:space="preserve">Extra Applied</t>
  </si>
  <si>
    <t xml:space="preserve">Total Payment</t>
  </si>
  <si>
    <t xml:space="preserve">Months to Payoff</t>
  </si>
  <si>
    <t xml:space="preserve">Interest Paid</t>
  </si>
  <si>
    <t xml:space="preserve">1. Medical Bill</t>
  </si>
  <si>
    <t xml:space="preserve">2. Credit Card 2</t>
  </si>
  <si>
    <t xml:space="preserve">"-"</t>
  </si>
  <si>
    <t xml:space="preserve">3. Credit Card 1</t>
  </si>
  <si>
    <t xml:space="preserve">4. Personal Loan</t>
  </si>
  <si>
    <t xml:space="preserve">5. Car Loan</t>
  </si>
  <si>
    <t xml:space="preserve">6. Student Loan</t>
  </si>
  <si>
    <t xml:space="preserve">SNOWBALL TOTALS</t>
  </si>
  <si>
    <t xml:space="preserve">  🌊  AVALANCHE METHOD  (Pay Highest APR First)</t>
  </si>
  <si>
    <t xml:space="preserve">Debt (Avalanche Order)</t>
  </si>
  <si>
    <t xml:space="preserve">1. Credit Card 1</t>
  </si>
  <si>
    <t xml:space="preserve">3. Personal Loan</t>
  </si>
  <si>
    <t xml:space="preserve">4. Car Loan</t>
  </si>
  <si>
    <t xml:space="preserve">5. Student Loan</t>
  </si>
  <si>
    <t xml:space="preserve">6. Medical Bill</t>
  </si>
  <si>
    <t xml:space="preserve">AVALANCHE TOTALS</t>
  </si>
  <si>
    <t xml:space="preserve">  📊  METHOD COMPARISON  —  Which saves you more?</t>
  </si>
  <si>
    <t xml:space="preserve">Snowball ❄</t>
  </si>
  <si>
    <t xml:space="preserve">Avalanche 🌊</t>
  </si>
  <si>
    <t xml:space="preserve">Difference</t>
  </si>
  <si>
    <t xml:space="preserve">Total Debt</t>
  </si>
  <si>
    <t xml:space="preserve">Total Interest Paid</t>
  </si>
  <si>
    <t xml:space="preserve">Total Amount Paid</t>
  </si>
  <si>
    <t xml:space="preserve">  💡  Avalanche typically saves the most interest. Snowball builds momentum with quick wins. Both beat minimum payments only.</t>
  </si>
  <si>
    <t xml:space="preserve">  🚀  AFTER DEBT-FREE  —  Redirect Payments to Investments</t>
  </si>
  <si>
    <t xml:space="preserve">Assumed annual investment return</t>
  </si>
  <si>
    <t xml:space="preserve">← Historical S&amp;P 500 average</t>
  </si>
  <si>
    <t xml:space="preserve">Monthly freed-up cash (min payments + extra)</t>
  </si>
  <si>
    <t xml:space="preserve">This is what you invest once debt-free</t>
  </si>
  <si>
    <t xml:space="preserve">Timeframe</t>
  </si>
  <si>
    <t xml:space="preserve">Portfolio Value</t>
  </si>
  <si>
    <t xml:space="preserve">Annual Returns</t>
  </si>
  <si>
    <t xml:space="preserve">Monthly Income from Returns</t>
  </si>
  <si>
    <t xml:space="preserve">5 years after debt-free</t>
  </si>
  <si>
    <t xml:space="preserve">10 years after debt-free</t>
  </si>
  <si>
    <t xml:space="preserve">15 years after debt-free</t>
  </si>
  <si>
    <t xml:space="preserve">20 years after debt-free</t>
  </si>
  <si>
    <t xml:space="preserve">🏠  Ready to track this automatically and connect your accounts?  Visit BuyYourKidsAHouse.com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</si>
</sst>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0%"/>
    <numFmt numFmtId="167" formatCode="0&quot; mos&quot;;\(0&quot; mos)&quot;;\-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2"/>
      <color rgb="FFC997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1C28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BBBBBB"/>
      <name val="Arial"/>
      <family val="0"/>
      <charset val="1"/>
    </font>
    <font>
      <sz val="11"/>
      <color rgb="FF1C2833"/>
      <name val="Arial"/>
      <family val="0"/>
      <charset val="1"/>
    </font>
    <font>
      <b val="true"/>
      <sz val="10"/>
      <color rgb="FF2D7D46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BBBBB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10"/>
      <color rgb="FF1C2833"/>
      <name val="Arial"/>
      <family val="0"/>
      <charset val="1"/>
    </font>
    <font>
      <sz val="10"/>
      <color rgb="FF2D7D4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2B4A"/>
        <bgColor rgb="FF1C2833"/>
      </patternFill>
    </fill>
    <fill>
      <patternFill patternType="solid">
        <fgColor rgb="FFC9973A"/>
        <bgColor rgb="FF969696"/>
      </patternFill>
    </fill>
    <fill>
      <patternFill patternType="solid">
        <fgColor rgb="FFF5E6C8"/>
        <bgColor rgb="FFFDEDEC"/>
      </patternFill>
    </fill>
    <fill>
      <patternFill patternType="solid">
        <fgColor rgb="FFE0E0E0"/>
        <bgColor rgb="FFF5E6C8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EF5E7"/>
      </patternFill>
    </fill>
    <fill>
      <patternFill patternType="solid">
        <fgColor rgb="FF2471A3"/>
        <bgColor rgb="FF008080"/>
      </patternFill>
    </fill>
    <fill>
      <patternFill patternType="solid">
        <fgColor rgb="FFEBF5FB"/>
        <bgColor rgb="FFE8F5EC"/>
      </patternFill>
    </fill>
    <fill>
      <patternFill patternType="solid">
        <fgColor rgb="FFC0392B"/>
        <bgColor rgb="FF993366"/>
      </patternFill>
    </fill>
    <fill>
      <patternFill patternType="solid">
        <fgColor rgb="FFFDEDEC"/>
        <bgColor rgb="FFFEF5E7"/>
      </patternFill>
    </fill>
    <fill>
      <patternFill patternType="solid">
        <fgColor rgb="FFFEF5E7"/>
        <bgColor rgb="FFFDEDEC"/>
      </patternFill>
    </fill>
    <fill>
      <patternFill patternType="solid">
        <fgColor rgb="FF2D7D46"/>
        <bgColor rgb="FF008080"/>
      </patternFill>
    </fill>
    <fill>
      <patternFill patternType="solid">
        <fgColor rgb="FFE8F5EC"/>
        <bgColor rgb="FFEBF5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EF5E7"/>
      <rgbColor rgb="FFE8F5EC"/>
      <rgbColor rgb="FF660066"/>
      <rgbColor rgb="FFFF8080"/>
      <rgbColor rgb="FF2471A3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7F7F7"/>
      <rgbColor rgb="FFF5E6C8"/>
      <rgbColor rgb="FF99CCFF"/>
      <rgbColor rgb="FFFF99CC"/>
      <rgbColor rgb="FFCC99FF"/>
      <rgbColor rgb="FFFDEDEC"/>
      <rgbColor rgb="FF3366FF"/>
      <rgbColor rgb="FF33CCCC"/>
      <rgbColor rgb="FF99CC00"/>
      <rgbColor rgb="FFFFCC00"/>
      <rgbColor rgb="FFC9973A"/>
      <rgbColor rgb="FFFF6600"/>
      <rgbColor rgb="FF666699"/>
      <rgbColor rgb="FF969696"/>
      <rgbColor rgb="FF1A2B4A"/>
      <rgbColor rgb="FF2D7D46"/>
      <rgbColor rgb="FF003300"/>
      <rgbColor rgb="FF333300"/>
      <rgbColor rgb="FFC0392B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8" min="5" style="0" width="16"/>
    <col collapsed="false" customWidth="true" hidden="false" outlineLevel="0" max="9" min="9" style="0" width="2.5"/>
  </cols>
  <sheetData>
    <row r="1" customFormat="false" ht="7.5" hidden="false" customHeight="true" outlineLevel="0" collapsed="false"/>
    <row r="2" customFormat="false" ht="5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25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2" hidden="false" customHeight="true" outlineLevel="0" collapsed="false">
      <c r="B4" s="3"/>
      <c r="C4" s="3"/>
      <c r="D4" s="3"/>
      <c r="E4" s="3"/>
      <c r="F4" s="3"/>
      <c r="G4" s="3"/>
      <c r="H4" s="3"/>
    </row>
    <row r="5" customFormat="false" ht="24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6" customFormat="false" ht="7.5" hidden="false" customHeight="true" outlineLevel="0" collapsed="false"/>
    <row r="7" customFormat="false" ht="21.75" hidden="false" customHeight="true" outlineLevel="0" collapsed="false">
      <c r="B7" s="5" t="s">
        <v>3</v>
      </c>
      <c r="C7" s="6" t="n">
        <v>200</v>
      </c>
      <c r="D7" s="7" t="s">
        <v>4</v>
      </c>
      <c r="E7" s="7"/>
      <c r="F7" s="7"/>
      <c r="G7" s="7"/>
      <c r="H7" s="7"/>
    </row>
    <row r="8" customFormat="false" ht="9.75" hidden="false" customHeight="true" outlineLevel="0" collapsed="false"/>
    <row r="9" customFormat="false" ht="24" hidden="false" customHeight="true" outlineLevel="0" collapsed="false">
      <c r="B9" s="8" t="s">
        <v>5</v>
      </c>
      <c r="C9" s="8"/>
      <c r="D9" s="8"/>
      <c r="E9" s="8"/>
      <c r="F9" s="8"/>
      <c r="G9" s="8"/>
      <c r="H9" s="8"/>
      <c r="I9" s="8"/>
    </row>
    <row r="10" customFormat="false" ht="7.5" hidden="false" customHeight="true" outlineLevel="0" collapsed="false"/>
    <row r="11" customFormat="false" ht="21.75" hidden="false" customHeight="true" outlineLevel="0" collapsed="false">
      <c r="B11" s="9" t="s">
        <v>6</v>
      </c>
      <c r="C11" s="10" t="s">
        <v>7</v>
      </c>
      <c r="D11" s="10" t="s">
        <v>8</v>
      </c>
      <c r="E11" s="10" t="s">
        <v>9</v>
      </c>
      <c r="F11" s="10" t="s">
        <v>10</v>
      </c>
      <c r="G11" s="10" t="s">
        <v>11</v>
      </c>
      <c r="H11" s="10"/>
    </row>
    <row r="12" customFormat="false" ht="21.75" hidden="false" customHeight="true" outlineLevel="0" collapsed="false">
      <c r="B12" s="11" t="s">
        <v>12</v>
      </c>
      <c r="C12" s="12" t="n">
        <v>4500</v>
      </c>
      <c r="D12" s="13" t="n">
        <v>0.2299</v>
      </c>
      <c r="E12" s="12" t="n">
        <v>90</v>
      </c>
      <c r="F12" s="14"/>
      <c r="G12" s="14"/>
    </row>
    <row r="13" customFormat="false" ht="21.75" hidden="false" customHeight="true" outlineLevel="0" collapsed="false">
      <c r="B13" s="15" t="s">
        <v>13</v>
      </c>
      <c r="C13" s="16" t="n">
        <v>2100</v>
      </c>
      <c r="D13" s="17" t="n">
        <v>0.1899</v>
      </c>
      <c r="E13" s="16" t="n">
        <v>42</v>
      </c>
      <c r="F13" s="18"/>
      <c r="G13" s="18"/>
    </row>
    <row r="14" customFormat="false" ht="21.75" hidden="false" customHeight="true" outlineLevel="0" collapsed="false">
      <c r="B14" s="11" t="s">
        <v>14</v>
      </c>
      <c r="C14" s="12" t="n">
        <v>8000</v>
      </c>
      <c r="D14" s="13" t="n">
        <v>0.125</v>
      </c>
      <c r="E14" s="12" t="n">
        <v>180</v>
      </c>
      <c r="F14" s="14"/>
      <c r="G14" s="14"/>
    </row>
    <row r="15" customFormat="false" ht="21.75" hidden="false" customHeight="true" outlineLevel="0" collapsed="false">
      <c r="B15" s="15" t="s">
        <v>15</v>
      </c>
      <c r="C15" s="16" t="n">
        <v>14000</v>
      </c>
      <c r="D15" s="17" t="n">
        <v>0.069</v>
      </c>
      <c r="E15" s="16" t="n">
        <v>285</v>
      </c>
      <c r="F15" s="18"/>
      <c r="G15" s="18"/>
    </row>
    <row r="16" customFormat="false" ht="21.75" hidden="false" customHeight="true" outlineLevel="0" collapsed="false">
      <c r="B16" s="11" t="s">
        <v>16</v>
      </c>
      <c r="C16" s="12" t="n">
        <v>22000</v>
      </c>
      <c r="D16" s="13" t="n">
        <v>0.055</v>
      </c>
      <c r="E16" s="12" t="n">
        <v>230</v>
      </c>
      <c r="F16" s="14"/>
      <c r="G16" s="14"/>
    </row>
    <row r="17" customFormat="false" ht="21.75" hidden="false" customHeight="true" outlineLevel="0" collapsed="false">
      <c r="B17" s="15" t="s">
        <v>17</v>
      </c>
      <c r="C17" s="16" t="n">
        <v>1200</v>
      </c>
      <c r="D17" s="17" t="n">
        <v>0</v>
      </c>
      <c r="E17" s="16" t="n">
        <v>50</v>
      </c>
      <c r="F17" s="18"/>
      <c r="G17" s="18"/>
    </row>
    <row r="18" customFormat="false" ht="21.75" hidden="false" customHeight="true" outlineLevel="0" collapsed="false">
      <c r="B18" s="19" t="s">
        <v>18</v>
      </c>
      <c r="C18" s="20"/>
      <c r="D18" s="20"/>
      <c r="E18" s="20"/>
      <c r="F18" s="20"/>
      <c r="G18" s="20"/>
    </row>
    <row r="19" customFormat="false" ht="21.75" hidden="false" customHeight="true" outlineLevel="0" collapsed="false">
      <c r="B19" s="21" t="s">
        <v>19</v>
      </c>
      <c r="C19" s="22"/>
      <c r="D19" s="22"/>
      <c r="E19" s="22"/>
      <c r="F19" s="22"/>
      <c r="G19" s="22"/>
    </row>
    <row r="20" customFormat="false" ht="21.75" hidden="false" customHeight="true" outlineLevel="0" collapsed="false">
      <c r="B20" s="19" t="s">
        <v>20</v>
      </c>
      <c r="C20" s="20"/>
      <c r="D20" s="20"/>
      <c r="E20" s="20"/>
      <c r="F20" s="20"/>
      <c r="G20" s="20"/>
    </row>
    <row r="21" customFormat="false" ht="24" hidden="false" customHeight="true" outlineLevel="0" collapsed="false">
      <c r="B21" s="5" t="s">
        <v>21</v>
      </c>
      <c r="C21" s="23" t="n">
        <f aca="false">SUM(C12:C20)</f>
        <v>51800</v>
      </c>
      <c r="D21" s="24"/>
      <c r="E21" s="23" t="n">
        <f aca="false">SUM(E12:E20)</f>
        <v>877</v>
      </c>
      <c r="F21" s="25"/>
      <c r="G21" s="25"/>
    </row>
    <row r="23" customFormat="false" ht="9.75" hidden="false" customHeight="true" outlineLevel="0" collapsed="false"/>
    <row r="24" customFormat="false" ht="24" hidden="false" customHeight="true" outlineLevel="0" collapsed="false">
      <c r="B24" s="26" t="s">
        <v>22</v>
      </c>
      <c r="C24" s="26"/>
      <c r="D24" s="26"/>
      <c r="E24" s="26"/>
      <c r="F24" s="26"/>
      <c r="G24" s="26"/>
      <c r="H24" s="26"/>
      <c r="I24" s="26"/>
    </row>
    <row r="25" customFormat="false" ht="7.5" hidden="false" customHeight="true" outlineLevel="0" collapsed="false"/>
    <row r="26" customFormat="false" ht="21.75" hidden="false" customHeight="true" outlineLevel="0" collapsed="false">
      <c r="B26" s="9" t="s">
        <v>23</v>
      </c>
      <c r="C26" s="10" t="s">
        <v>24</v>
      </c>
      <c r="D26" s="10" t="s">
        <v>25</v>
      </c>
      <c r="E26" s="10" t="s">
        <v>26</v>
      </c>
      <c r="F26" s="10" t="s">
        <v>27</v>
      </c>
      <c r="G26" s="10" t="s">
        <v>28</v>
      </c>
      <c r="H26" s="10" t="s">
        <v>29</v>
      </c>
      <c r="I26" s="10" t="s">
        <v>30</v>
      </c>
    </row>
    <row r="27" customFormat="false" ht="21.75" hidden="false" customHeight="true" outlineLevel="0" collapsed="false">
      <c r="B27" s="27" t="s">
        <v>31</v>
      </c>
      <c r="C27" s="28" t="n">
        <f aca="false">C17</f>
        <v>1200</v>
      </c>
      <c r="D27" s="29" t="n">
        <f aca="false">D17</f>
        <v>0</v>
      </c>
      <c r="E27" s="28" t="n">
        <f aca="false">E17</f>
        <v>50</v>
      </c>
      <c r="F27" s="30" t="n">
        <f aca="false">C7</f>
        <v>200</v>
      </c>
      <c r="G27" s="31" t="n">
        <f aca="false">IFERROR(CEILING(C17/(E17+C7),1),"-")</f>
        <v>5</v>
      </c>
      <c r="H27" s="28" t="n">
        <f aca="false">IFERROR(G27*F27,"-")</f>
        <v>1000</v>
      </c>
      <c r="I27" s="32" t="n">
        <f aca="false">IFERROR(H27-C17,"-")</f>
        <v>-200</v>
      </c>
    </row>
    <row r="28" customFormat="false" ht="21.75" hidden="false" customHeight="true" outlineLevel="0" collapsed="false">
      <c r="B28" s="11" t="s">
        <v>32</v>
      </c>
      <c r="C28" s="33" t="n">
        <f aca="false">C13</f>
        <v>2100</v>
      </c>
      <c r="D28" s="34" t="n">
        <f aca="false">D13</f>
        <v>0.1899</v>
      </c>
      <c r="E28" s="33" t="n">
        <f aca="false">E13</f>
        <v>42</v>
      </c>
      <c r="F28" s="35" t="s">
        <v>33</v>
      </c>
      <c r="G28" s="36" t="n">
        <f aca="false">IFERROR(CEILING(-LN(1-C13*(D13/12)/E13)/LN(1+D13/12),1),"-")</f>
        <v>100</v>
      </c>
      <c r="H28" s="33" t="n">
        <f aca="false">IFERROR(G28*E13,"-")</f>
        <v>4200</v>
      </c>
      <c r="I28" s="37" t="n">
        <f aca="false">IFERROR(H28-C13,"-")</f>
        <v>2100</v>
      </c>
    </row>
    <row r="29" customFormat="false" ht="21.75" hidden="false" customHeight="true" outlineLevel="0" collapsed="false">
      <c r="B29" s="27" t="s">
        <v>34</v>
      </c>
      <c r="C29" s="28" t="n">
        <f aca="false">C12</f>
        <v>4500</v>
      </c>
      <c r="D29" s="29" t="n">
        <f aca="false">D12</f>
        <v>0.2299</v>
      </c>
      <c r="E29" s="28" t="n">
        <f aca="false">E12</f>
        <v>90</v>
      </c>
      <c r="F29" s="38" t="s">
        <v>33</v>
      </c>
      <c r="G29" s="31" t="n">
        <f aca="false">IFERROR(CEILING(-LN(1-C12*(D12/12)/E12)/LN(1+D12/12),1),"-")</f>
        <v>167</v>
      </c>
      <c r="H29" s="28" t="n">
        <f aca="false">IFERROR(G29*E12,"-")</f>
        <v>15030</v>
      </c>
      <c r="I29" s="32" t="n">
        <f aca="false">IFERROR(H29-C12,"-")</f>
        <v>10530</v>
      </c>
    </row>
    <row r="30" customFormat="false" ht="21.75" hidden="false" customHeight="true" outlineLevel="0" collapsed="false">
      <c r="B30" s="11" t="s">
        <v>35</v>
      </c>
      <c r="C30" s="33" t="n">
        <f aca="false">C14</f>
        <v>8000</v>
      </c>
      <c r="D30" s="34" t="n">
        <f aca="false">D14</f>
        <v>0.125</v>
      </c>
      <c r="E30" s="33" t="n">
        <f aca="false">E14</f>
        <v>180</v>
      </c>
      <c r="F30" s="35" t="s">
        <v>33</v>
      </c>
      <c r="G30" s="36" t="n">
        <f aca="false">IFERROR(CEILING(-LN(1-C14*(D14/12)/E14)/LN(1+D14/12),1),"-")</f>
        <v>60</v>
      </c>
      <c r="H30" s="33" t="n">
        <f aca="false">IFERROR(G30*E14,"-")</f>
        <v>10800</v>
      </c>
      <c r="I30" s="37" t="n">
        <f aca="false">IFERROR(H30-C14,"-")</f>
        <v>2800</v>
      </c>
    </row>
    <row r="31" customFormat="false" ht="21.75" hidden="false" customHeight="true" outlineLevel="0" collapsed="false">
      <c r="B31" s="27" t="s">
        <v>36</v>
      </c>
      <c r="C31" s="28" t="n">
        <f aca="false">C15</f>
        <v>14000</v>
      </c>
      <c r="D31" s="29" t="n">
        <f aca="false">D15</f>
        <v>0.069</v>
      </c>
      <c r="E31" s="28" t="n">
        <f aca="false">E15</f>
        <v>285</v>
      </c>
      <c r="F31" s="38" t="s">
        <v>33</v>
      </c>
      <c r="G31" s="31" t="n">
        <f aca="false">IFERROR(CEILING(-LN(1-C15*(D15/12)/E15)/LN(1+D15/12),1),"-")</f>
        <v>58</v>
      </c>
      <c r="H31" s="28" t="n">
        <f aca="false">IFERROR(G31*E15,"-")</f>
        <v>16530</v>
      </c>
      <c r="I31" s="32" t="n">
        <f aca="false">IFERROR(H31-C15,"-")</f>
        <v>2530</v>
      </c>
    </row>
    <row r="32" customFormat="false" ht="21.75" hidden="false" customHeight="true" outlineLevel="0" collapsed="false">
      <c r="B32" s="11" t="s">
        <v>37</v>
      </c>
      <c r="C32" s="33" t="n">
        <f aca="false">C16</f>
        <v>22000</v>
      </c>
      <c r="D32" s="34" t="n">
        <f aca="false">D16</f>
        <v>0.055</v>
      </c>
      <c r="E32" s="33" t="n">
        <f aca="false">E16</f>
        <v>230</v>
      </c>
      <c r="F32" s="35" t="s">
        <v>33</v>
      </c>
      <c r="G32" s="36" t="n">
        <f aca="false">IFERROR(CEILING(-LN(1-C16*(D16/12)/E16)/LN(1+D16/12),1),"-")</f>
        <v>127</v>
      </c>
      <c r="H32" s="33" t="n">
        <f aca="false">IFERROR(G32*E16,"-")</f>
        <v>29210</v>
      </c>
      <c r="I32" s="37" t="n">
        <f aca="false">IFERROR(H32-C16,"-")</f>
        <v>7210</v>
      </c>
    </row>
    <row r="33" customFormat="false" ht="24" hidden="false" customHeight="true" outlineLevel="0" collapsed="false">
      <c r="B33" s="39" t="s">
        <v>38</v>
      </c>
      <c r="C33" s="40" t="n">
        <f aca="false">SUM(C27:C32)</f>
        <v>51800</v>
      </c>
      <c r="D33" s="41"/>
      <c r="E33" s="40" t="n">
        <f aca="false">SUM(E27:E32)</f>
        <v>877</v>
      </c>
      <c r="F33" s="41"/>
      <c r="G33" s="41"/>
      <c r="H33" s="40" t="n">
        <f aca="false">SUM(H27:H32)</f>
        <v>76770</v>
      </c>
      <c r="I33" s="42" t="n">
        <f aca="false">SUM(I27:I32)</f>
        <v>24970</v>
      </c>
    </row>
    <row r="35" customFormat="false" ht="9.75" hidden="false" customHeight="true" outlineLevel="0" collapsed="false"/>
    <row r="36" customFormat="false" ht="24" hidden="false" customHeight="true" outlineLevel="0" collapsed="false">
      <c r="B36" s="43" t="s">
        <v>39</v>
      </c>
      <c r="C36" s="43"/>
      <c r="D36" s="43"/>
      <c r="E36" s="43"/>
      <c r="F36" s="43"/>
      <c r="G36" s="43"/>
      <c r="H36" s="43"/>
      <c r="I36" s="43"/>
    </row>
    <row r="37" customFormat="false" ht="7.5" hidden="false" customHeight="true" outlineLevel="0" collapsed="false"/>
    <row r="38" customFormat="false" ht="21.75" hidden="false" customHeight="true" outlineLevel="0" collapsed="false">
      <c r="B38" s="9" t="s">
        <v>40</v>
      </c>
      <c r="C38" s="10" t="s">
        <v>24</v>
      </c>
      <c r="D38" s="10" t="s">
        <v>25</v>
      </c>
      <c r="E38" s="10" t="s">
        <v>26</v>
      </c>
      <c r="F38" s="10" t="s">
        <v>27</v>
      </c>
      <c r="G38" s="10" t="s">
        <v>28</v>
      </c>
      <c r="H38" s="10" t="s">
        <v>29</v>
      </c>
      <c r="I38" s="10" t="s">
        <v>30</v>
      </c>
    </row>
    <row r="39" customFormat="false" ht="21.75" hidden="false" customHeight="true" outlineLevel="0" collapsed="false">
      <c r="B39" s="44" t="s">
        <v>41</v>
      </c>
      <c r="C39" s="45" t="n">
        <f aca="false">C12</f>
        <v>4500</v>
      </c>
      <c r="D39" s="46" t="n">
        <f aca="false">D12</f>
        <v>0.2299</v>
      </c>
      <c r="E39" s="45" t="n">
        <f aca="false">E12</f>
        <v>90</v>
      </c>
      <c r="F39" s="47" t="n">
        <f aca="false">C7</f>
        <v>200</v>
      </c>
      <c r="G39" s="48" t="n">
        <f aca="false">IFERROR(CEILING(-LN(1-C12*(D12/12)/(E12+C7))/LN(1+D12/12),1),"-")</f>
        <v>19</v>
      </c>
      <c r="H39" s="45" t="n">
        <f aca="false">IFERROR(G39*F39,"-")</f>
        <v>3800</v>
      </c>
      <c r="I39" s="49" t="n">
        <f aca="false">IFERROR(H39-C12,"-")</f>
        <v>-700</v>
      </c>
    </row>
    <row r="40" customFormat="false" ht="21.75" hidden="false" customHeight="true" outlineLevel="0" collapsed="false">
      <c r="B40" s="11" t="s">
        <v>32</v>
      </c>
      <c r="C40" s="33" t="n">
        <f aca="false">C13</f>
        <v>2100</v>
      </c>
      <c r="D40" s="34" t="n">
        <f aca="false">D13</f>
        <v>0.1899</v>
      </c>
      <c r="E40" s="33" t="n">
        <f aca="false">E13</f>
        <v>42</v>
      </c>
      <c r="F40" s="35" t="s">
        <v>33</v>
      </c>
      <c r="G40" s="36" t="n">
        <f aca="false">IFERROR(CEILING(-LN(1-C13*(D13/12)/E13)/LN(1+D13/12),1),"-")</f>
        <v>100</v>
      </c>
      <c r="H40" s="33" t="n">
        <f aca="false">IFERROR(G40*E13,"-")</f>
        <v>4200</v>
      </c>
      <c r="I40" s="37" t="n">
        <f aca="false">IFERROR(H40-C13,"-")</f>
        <v>2100</v>
      </c>
    </row>
    <row r="41" customFormat="false" ht="21.75" hidden="false" customHeight="true" outlineLevel="0" collapsed="false">
      <c r="B41" s="44" t="s">
        <v>42</v>
      </c>
      <c r="C41" s="45" t="n">
        <f aca="false">C14</f>
        <v>8000</v>
      </c>
      <c r="D41" s="46" t="n">
        <f aca="false">D14</f>
        <v>0.125</v>
      </c>
      <c r="E41" s="45" t="n">
        <f aca="false">E14</f>
        <v>180</v>
      </c>
      <c r="F41" s="50" t="s">
        <v>33</v>
      </c>
      <c r="G41" s="48" t="n">
        <f aca="false">IFERROR(CEILING(-LN(1-C14*(D14/12)/E14)/LN(1+D14/12),1),"-")</f>
        <v>60</v>
      </c>
      <c r="H41" s="45" t="n">
        <f aca="false">IFERROR(G41*E14,"-")</f>
        <v>10800</v>
      </c>
      <c r="I41" s="49" t="n">
        <f aca="false">IFERROR(H41-C14,"-")</f>
        <v>2800</v>
      </c>
    </row>
    <row r="42" customFormat="false" ht="21.75" hidden="false" customHeight="true" outlineLevel="0" collapsed="false">
      <c r="B42" s="11" t="s">
        <v>43</v>
      </c>
      <c r="C42" s="33" t="n">
        <f aca="false">C15</f>
        <v>14000</v>
      </c>
      <c r="D42" s="34" t="n">
        <f aca="false">D15</f>
        <v>0.069</v>
      </c>
      <c r="E42" s="33" t="n">
        <f aca="false">E15</f>
        <v>285</v>
      </c>
      <c r="F42" s="35" t="s">
        <v>33</v>
      </c>
      <c r="G42" s="36" t="n">
        <f aca="false">IFERROR(CEILING(-LN(1-C15*(D15/12)/E15)/LN(1+D15/12),1),"-")</f>
        <v>58</v>
      </c>
      <c r="H42" s="33" t="n">
        <f aca="false">IFERROR(G42*E15,"-")</f>
        <v>16530</v>
      </c>
      <c r="I42" s="37" t="n">
        <f aca="false">IFERROR(H42-C15,"-")</f>
        <v>2530</v>
      </c>
    </row>
    <row r="43" customFormat="false" ht="21.75" hidden="false" customHeight="true" outlineLevel="0" collapsed="false">
      <c r="B43" s="44" t="s">
        <v>44</v>
      </c>
      <c r="C43" s="45" t="n">
        <f aca="false">C16</f>
        <v>22000</v>
      </c>
      <c r="D43" s="46" t="n">
        <f aca="false">D16</f>
        <v>0.055</v>
      </c>
      <c r="E43" s="45" t="n">
        <f aca="false">E16</f>
        <v>230</v>
      </c>
      <c r="F43" s="50" t="s">
        <v>33</v>
      </c>
      <c r="G43" s="48" t="n">
        <f aca="false">IFERROR(CEILING(-LN(1-C16*(D16/12)/E16)/LN(1+D16/12),1),"-")</f>
        <v>127</v>
      </c>
      <c r="H43" s="45" t="n">
        <f aca="false">IFERROR(G43*E16,"-")</f>
        <v>29210</v>
      </c>
      <c r="I43" s="49" t="n">
        <f aca="false">IFERROR(H43-C16,"-")</f>
        <v>7210</v>
      </c>
    </row>
    <row r="44" customFormat="false" ht="21.75" hidden="false" customHeight="true" outlineLevel="0" collapsed="false">
      <c r="B44" s="11" t="s">
        <v>45</v>
      </c>
      <c r="C44" s="33" t="n">
        <f aca="false">C17</f>
        <v>1200</v>
      </c>
      <c r="D44" s="34" t="n">
        <f aca="false">D17</f>
        <v>0</v>
      </c>
      <c r="E44" s="33" t="n">
        <f aca="false">E17</f>
        <v>50</v>
      </c>
      <c r="F44" s="35" t="s">
        <v>33</v>
      </c>
      <c r="G44" s="36" t="n">
        <f aca="false">IFERROR(CEILING(C17/E17,1),"-")</f>
        <v>24</v>
      </c>
      <c r="H44" s="33" t="n">
        <f aca="false">IFERROR(G44*E17,"-")</f>
        <v>1200</v>
      </c>
      <c r="I44" s="37" t="n">
        <f aca="false">IFERROR(H44-C17,"-")</f>
        <v>0</v>
      </c>
    </row>
    <row r="45" customFormat="false" ht="24" hidden="false" customHeight="true" outlineLevel="0" collapsed="false">
      <c r="B45" s="51" t="s">
        <v>46</v>
      </c>
      <c r="C45" s="52" t="n">
        <f aca="false">SUM(C39:C44)</f>
        <v>51800</v>
      </c>
      <c r="D45" s="53"/>
      <c r="E45" s="52" t="n">
        <f aca="false">SUM(E39:E44)</f>
        <v>877</v>
      </c>
      <c r="F45" s="53"/>
      <c r="G45" s="53"/>
      <c r="H45" s="52" t="n">
        <f aca="false">SUM(H39:H44)</f>
        <v>65740</v>
      </c>
      <c r="I45" s="54" t="n">
        <f aca="false">SUM(I39:I44)</f>
        <v>13940</v>
      </c>
    </row>
    <row r="47" customFormat="false" ht="9.75" hidden="false" customHeight="true" outlineLevel="0" collapsed="false"/>
    <row r="48" customFormat="false" ht="24" hidden="false" customHeight="true" outlineLevel="0" collapsed="false">
      <c r="B48" s="8" t="s">
        <v>47</v>
      </c>
      <c r="C48" s="8"/>
      <c r="D48" s="8"/>
      <c r="E48" s="8"/>
      <c r="F48" s="8"/>
      <c r="G48" s="8"/>
      <c r="H48" s="8"/>
      <c r="I48" s="8"/>
    </row>
    <row r="49" customFormat="false" ht="7.5" hidden="false" customHeight="true" outlineLevel="0" collapsed="false"/>
    <row r="50" customFormat="false" ht="21.75" hidden="false" customHeight="true" outlineLevel="0" collapsed="false">
      <c r="B50" s="10"/>
      <c r="C50" s="10" t="s">
        <v>48</v>
      </c>
      <c r="D50" s="10" t="s">
        <v>49</v>
      </c>
      <c r="E50" s="10" t="s">
        <v>50</v>
      </c>
      <c r="F50" s="55"/>
      <c r="G50" s="55"/>
      <c r="H50" s="55"/>
      <c r="I50" s="55"/>
    </row>
    <row r="51" customFormat="false" ht="21.75" hidden="false" customHeight="true" outlineLevel="0" collapsed="false">
      <c r="B51" s="56" t="s">
        <v>51</v>
      </c>
      <c r="C51" s="40" t="n">
        <f aca="false">C21</f>
        <v>51800</v>
      </c>
      <c r="D51" s="52" t="n">
        <f aca="false">C21</f>
        <v>51800</v>
      </c>
      <c r="E51" s="57" t="n">
        <f aca="false">C51-D51</f>
        <v>0</v>
      </c>
      <c r="F51" s="58"/>
      <c r="G51" s="58"/>
      <c r="H51" s="58"/>
      <c r="I51" s="58"/>
    </row>
    <row r="52" customFormat="false" ht="21.75" hidden="false" customHeight="true" outlineLevel="0" collapsed="false">
      <c r="B52" s="51" t="s">
        <v>52</v>
      </c>
      <c r="C52" s="40" t="n">
        <f aca="false">I33</f>
        <v>24970</v>
      </c>
      <c r="D52" s="52" t="n">
        <f aca="false">I45</f>
        <v>13940</v>
      </c>
      <c r="E52" s="47" t="n">
        <f aca="false">C52-D52</f>
        <v>11030</v>
      </c>
      <c r="F52" s="59"/>
      <c r="G52" s="59"/>
      <c r="H52" s="59"/>
      <c r="I52" s="59"/>
    </row>
    <row r="53" customFormat="false" ht="21.75" hidden="false" customHeight="true" outlineLevel="0" collapsed="false">
      <c r="B53" s="60" t="s">
        <v>53</v>
      </c>
      <c r="C53" s="40" t="n">
        <f aca="false">H33</f>
        <v>76770</v>
      </c>
      <c r="D53" s="52" t="n">
        <f aca="false">H45</f>
        <v>65740</v>
      </c>
      <c r="E53" s="61" t="n">
        <f aca="false">C53-D53</f>
        <v>11030</v>
      </c>
      <c r="F53" s="62"/>
      <c r="G53" s="62"/>
      <c r="H53" s="62"/>
      <c r="I53" s="62"/>
    </row>
    <row r="54" customFormat="false" ht="9.75" hidden="false" customHeight="true" outlineLevel="0" collapsed="false"/>
    <row r="55" customFormat="false" ht="27.75" hidden="false" customHeight="true" outlineLevel="0" collapsed="false">
      <c r="B55" s="63" t="s">
        <v>54</v>
      </c>
      <c r="C55" s="63"/>
      <c r="D55" s="63"/>
      <c r="E55" s="63"/>
      <c r="F55" s="63"/>
      <c r="G55" s="63"/>
      <c r="H55" s="63"/>
      <c r="I55" s="63"/>
    </row>
    <row r="57" customFormat="false" ht="9.75" hidden="false" customHeight="true" outlineLevel="0" collapsed="false"/>
    <row r="58" customFormat="false" ht="24" hidden="false" customHeight="true" outlineLevel="0" collapsed="false">
      <c r="B58" s="64" t="s">
        <v>55</v>
      </c>
      <c r="C58" s="64"/>
      <c r="D58" s="64"/>
      <c r="E58" s="64"/>
      <c r="F58" s="64"/>
      <c r="G58" s="64"/>
      <c r="H58" s="64"/>
      <c r="I58" s="64"/>
    </row>
    <row r="59" customFormat="false" ht="7.5" hidden="false" customHeight="true" outlineLevel="0" collapsed="false"/>
    <row r="60" customFormat="false" ht="21.75" hidden="false" customHeight="true" outlineLevel="0" collapsed="false">
      <c r="B60" s="65" t="s">
        <v>56</v>
      </c>
      <c r="C60" s="66" t="n">
        <v>0.09</v>
      </c>
      <c r="D60" s="67" t="s">
        <v>57</v>
      </c>
      <c r="E60" s="67"/>
      <c r="F60" s="67"/>
      <c r="G60" s="67"/>
      <c r="H60" s="67"/>
      <c r="I60" s="67"/>
    </row>
    <row r="61" customFormat="false" ht="21.75" hidden="false" customHeight="true" outlineLevel="0" collapsed="false">
      <c r="B61" s="65" t="s">
        <v>58</v>
      </c>
      <c r="C61" s="68" t="n">
        <f aca="false">E21+C7</f>
        <v>1077</v>
      </c>
      <c r="D61" s="67" t="s">
        <v>59</v>
      </c>
      <c r="E61" s="67"/>
      <c r="F61" s="67"/>
      <c r="G61" s="67"/>
      <c r="H61" s="67"/>
      <c r="I61" s="67"/>
    </row>
    <row r="62" customFormat="false" ht="7.5" hidden="false" customHeight="true" outlineLevel="0" collapsed="false"/>
    <row r="63" customFormat="false" ht="21.75" hidden="false" customHeight="true" outlineLevel="0" collapsed="false">
      <c r="B63" s="9" t="s">
        <v>60</v>
      </c>
      <c r="C63" s="10" t="s">
        <v>61</v>
      </c>
      <c r="D63" s="10" t="s">
        <v>62</v>
      </c>
      <c r="E63" s="10" t="s">
        <v>63</v>
      </c>
      <c r="F63" s="55"/>
      <c r="G63" s="55"/>
      <c r="H63" s="55"/>
      <c r="I63" s="55"/>
    </row>
    <row r="64" customFormat="false" ht="21.75" hidden="false" customHeight="true" outlineLevel="0" collapsed="false">
      <c r="B64" s="69" t="s">
        <v>64</v>
      </c>
      <c r="C64" s="68" t="n">
        <f aca="false">IFERROR(FV(C60/12,5*12,-C61,0),0)</f>
        <v>81231.7954688096</v>
      </c>
      <c r="D64" s="70" t="n">
        <f aca="false">C64*C60</f>
        <v>7310.86159219286</v>
      </c>
      <c r="E64" s="68" t="n">
        <f aca="false">D64/12</f>
        <v>609.238466016072</v>
      </c>
      <c r="F64" s="71"/>
      <c r="G64" s="71"/>
      <c r="H64" s="71"/>
      <c r="I64" s="71"/>
    </row>
    <row r="65" customFormat="false" ht="21.75" hidden="false" customHeight="true" outlineLevel="0" collapsed="false">
      <c r="B65" s="11" t="s">
        <v>65</v>
      </c>
      <c r="C65" s="72" t="n">
        <f aca="false">IFERROR(FV(C60/12,10*12,-C61,0),0)</f>
        <v>208414.876418723</v>
      </c>
      <c r="D65" s="73" t="n">
        <f aca="false">C65*C60</f>
        <v>18757.3388776851</v>
      </c>
      <c r="E65" s="72" t="n">
        <f aca="false">D65/12</f>
        <v>1563.11157314042</v>
      </c>
      <c r="F65" s="74"/>
      <c r="G65" s="74"/>
      <c r="H65" s="74"/>
      <c r="I65" s="74"/>
    </row>
    <row r="66" customFormat="false" ht="21.75" hidden="false" customHeight="true" outlineLevel="0" collapsed="false">
      <c r="B66" s="69" t="s">
        <v>66</v>
      </c>
      <c r="C66" s="68" t="n">
        <f aca="false">IFERROR(FV(C60/12,15*12,-C61,0),0)</f>
        <v>407543.013209976</v>
      </c>
      <c r="D66" s="70" t="n">
        <f aca="false">C66*C60</f>
        <v>36678.8711888979</v>
      </c>
      <c r="E66" s="68" t="n">
        <f aca="false">D66/12</f>
        <v>3056.57259907482</v>
      </c>
      <c r="F66" s="71"/>
      <c r="G66" s="71"/>
      <c r="H66" s="71"/>
      <c r="I66" s="71"/>
    </row>
    <row r="67" customFormat="false" ht="21.75" hidden="false" customHeight="true" outlineLevel="0" collapsed="false">
      <c r="B67" s="11" t="s">
        <v>67</v>
      </c>
      <c r="C67" s="72" t="n">
        <f aca="false">IFERROR(FV(C60/12,20*12,-C61,0),0)</f>
        <v>719314.158914267</v>
      </c>
      <c r="D67" s="73" t="n">
        <f aca="false">C67*C60</f>
        <v>64738.274302284</v>
      </c>
      <c r="E67" s="72" t="n">
        <f aca="false">D67/12</f>
        <v>5394.856191857</v>
      </c>
      <c r="F67" s="74"/>
      <c r="G67" s="74"/>
      <c r="H67" s="74"/>
      <c r="I67" s="74"/>
    </row>
    <row r="69" customFormat="false" ht="30" hidden="false" customHeight="true" outlineLevel="0" collapsed="false">
      <c r="B69" s="75" t="s">
        <v>68</v>
      </c>
      <c r="C69" s="75"/>
      <c r="D69" s="75"/>
      <c r="E69" s="75"/>
      <c r="F69" s="75"/>
      <c r="G69" s="75"/>
      <c r="H69" s="75"/>
      <c r="I69" s="75"/>
    </row>
    <row r="70" customFormat="false" ht="7.5" hidden="false" customHeight="true" outlineLevel="0" collapsed="false">
      <c r="B70" s="3"/>
      <c r="C70" s="3"/>
      <c r="D70" s="3"/>
      <c r="E70" s="3"/>
      <c r="F70" s="3"/>
      <c r="G70" s="3"/>
      <c r="H70" s="3"/>
      <c r="I70" s="3"/>
    </row>
  </sheetData>
  <mergeCells count="22">
    <mergeCell ref="B2:H2"/>
    <mergeCell ref="B3:H3"/>
    <mergeCell ref="B5:I5"/>
    <mergeCell ref="D7:H7"/>
    <mergeCell ref="B9:I9"/>
    <mergeCell ref="B24:I24"/>
    <mergeCell ref="B36:I36"/>
    <mergeCell ref="B48:I48"/>
    <mergeCell ref="F50:I50"/>
    <mergeCell ref="F51:I51"/>
    <mergeCell ref="F52:I52"/>
    <mergeCell ref="F53:I53"/>
    <mergeCell ref="B55:I55"/>
    <mergeCell ref="B58:I58"/>
    <mergeCell ref="D60:I60"/>
    <mergeCell ref="D61:I61"/>
    <mergeCell ref="F63:I63"/>
    <mergeCell ref="F64:I64"/>
    <mergeCell ref="F65:I65"/>
    <mergeCell ref="F66:I66"/>
    <mergeCell ref="F67:I67"/>
    <mergeCell ref="B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2026-05-01T19:15:13Z</dcterms:created>
  <dc:creator>openpyxl</dc:creator>
  <dc:description/>
  <dc:language>en-US</dc:language>
  <cp:lastModifiedBy/>
  <dcterms:modified xsi:type="dcterms:W3CDTF">2026-05-01T19:15:13Z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